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osefbetech/Desktop/"/>
    </mc:Choice>
  </mc:AlternateContent>
  <xr:revisionPtr revIDLastSave="0" documentId="13_ncr:1_{AFA870CE-C832-BE45-BEA1-C230A09FABDD}" xr6:coauthVersionLast="47" xr6:coauthVersionMax="47" xr10:uidLastSave="{00000000-0000-0000-0000-000000000000}"/>
  <bookViews>
    <workbookView xWindow="400" yWindow="640" windowWidth="27720" windowHeight="15920" xr2:uid="{00000000-000D-0000-FFFF-FFFF00000000}"/>
  </bookViews>
  <sheets>
    <sheet name="PEDIDO FACTURA 3.3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19" i="1"/>
  <c r="J18" i="1"/>
  <c r="J17" i="1"/>
  <c r="J16" i="1"/>
  <c r="J15" i="1"/>
  <c r="J21" i="1" s="1"/>
  <c r="J22" i="1" l="1"/>
  <c r="J24" i="1" s="1"/>
</calcChain>
</file>

<file path=xl/sharedStrings.xml><?xml version="1.0" encoding="utf-8"?>
<sst xmlns="http://schemas.openxmlformats.org/spreadsheetml/2006/main" count="30" uniqueCount="28">
  <si>
    <t>SOLICITUD DE FACTURA</t>
  </si>
  <si>
    <t>EMPRESA PROVEEDOR</t>
  </si>
  <si>
    <t>CLIENTE</t>
  </si>
  <si>
    <t>RFC</t>
  </si>
  <si>
    <t>DOMICILIO FISCAL</t>
  </si>
  <si>
    <t>MÉTODO DE PAGO</t>
  </si>
  <si>
    <t>PUE</t>
  </si>
  <si>
    <t>FORMA DE PAGO</t>
  </si>
  <si>
    <t>TRANSFERENCIA</t>
  </si>
  <si>
    <t>USO DEL CFDI</t>
  </si>
  <si>
    <t>CANTIDAD</t>
  </si>
  <si>
    <t>CLAVE DE UNIDAD</t>
  </si>
  <si>
    <t>TIPO DE UNIDAD DE MEDIDA</t>
  </si>
  <si>
    <t>DESCRIPCIÓN</t>
  </si>
  <si>
    <t>CLAVE PRODUCTO</t>
  </si>
  <si>
    <t>VALOR UNITARIO</t>
  </si>
  <si>
    <t>TOTAL</t>
  </si>
  <si>
    <t>SUBTOTAL</t>
  </si>
  <si>
    <t>IVA 16%</t>
  </si>
  <si>
    <t>OBSERVACIONES</t>
  </si>
  <si>
    <t>KAWICH PEAK</t>
  </si>
  <si>
    <t>COMERICALIZADORA KRITECH RENEWED SA DE CV</t>
  </si>
  <si>
    <t>AV RIO SAN JOAQUIN 406, AMPLIACION GRANADA 11529</t>
  </si>
  <si>
    <t>ADQUISICION DE MERCANCIAS</t>
  </si>
  <si>
    <t>H87</t>
  </si>
  <si>
    <t>PIEZA</t>
  </si>
  <si>
    <t>iPhone 14 Pro 128GB Morado</t>
  </si>
  <si>
    <t>CKR230905UY4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</si>
</sst>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21" x14ac:knownFonts="1">
    <font>
      <sz val="12"/>
      <color rgb="FF000000"/>
      <name val="Calibri"/>
      <scheme val="minor"/>
    </font>
    <font>
      <b/>
      <sz val="12"/>
      <color rgb="FFFFFFFF"/>
      <name val="Arial Black"/>
      <family val="2"/>
    </font>
    <font>
      <sz val="12"/>
      <name val="Calibri"/>
      <family val="2"/>
    </font>
    <font>
      <sz val="12"/>
      <color rgb="FF000000"/>
      <name val="Verdana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i/>
      <sz val="12"/>
      <color rgb="FFBFBFBF"/>
      <name val="Calibri"/>
      <family val="2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9"/>
      <color rgb="FF000000"/>
      <name val="Verdana"/>
      <family val="2"/>
    </font>
    <font>
      <b/>
      <sz val="12"/>
      <color rgb="FFFFFFFF"/>
      <name val="Bodoni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Verdana"/>
      <family val="2"/>
    </font>
    <font>
      <b/>
      <u/>
      <sz val="12"/>
      <color rgb="FFFFFFFF"/>
      <name val="Calibri"/>
      <family val="2"/>
    </font>
    <font>
      <b/>
      <u/>
      <sz val="12"/>
      <color rgb="FFFFFFFF"/>
      <name val="Calibri"/>
      <family val="2"/>
    </font>
    <font>
      <b/>
      <sz val="12"/>
      <color rgb="FF000000"/>
      <name val="Verdana"/>
      <family val="2"/>
    </font>
    <font>
      <b/>
      <sz val="10"/>
      <color rgb="FF006400"/>
      <name val="Tahoma"/>
      <family val="2"/>
    </font>
    <font>
      <b/>
      <sz val="9"/>
      <color rgb="FF000000"/>
      <name val="Arial"/>
      <family val="2"/>
    </font>
    <font>
      <sz val="12"/>
      <color rgb="FFFFFFFF"/>
      <name val="Calibri"/>
      <family val="2"/>
    </font>
    <font>
      <sz val="12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91C2DE"/>
        <bgColor rgb="FF91C2D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99BC9"/>
        <bgColor rgb="FF499BC9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 applyAlignment="1">
      <alignment vertical="top" wrapText="1"/>
    </xf>
    <xf numFmtId="0" fontId="11" fillId="2" borderId="32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 wrapText="1"/>
    </xf>
    <xf numFmtId="1" fontId="14" fillId="2" borderId="33" xfId="0" applyNumberFormat="1" applyFont="1" applyFill="1" applyBorder="1" applyAlignment="1">
      <alignment horizontal="center" vertical="center" wrapText="1"/>
    </xf>
    <xf numFmtId="164" fontId="15" fillId="2" borderId="34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1" fontId="8" fillId="0" borderId="35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164" fontId="19" fillId="5" borderId="35" xfId="0" applyNumberFormat="1" applyFont="1" applyFill="1" applyBorder="1" applyAlignment="1">
      <alignment vertical="center"/>
    </xf>
    <xf numFmtId="164" fontId="8" fillId="0" borderId="35" xfId="0" applyNumberFormat="1" applyFont="1" applyBorder="1" applyAlignment="1">
      <alignment horizontal="center"/>
    </xf>
    <xf numFmtId="4" fontId="3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 wrapText="1"/>
    </xf>
    <xf numFmtId="1" fontId="8" fillId="0" borderId="18" xfId="0" applyNumberFormat="1" applyFont="1" applyBorder="1" applyAlignment="1">
      <alignment horizontal="left" vertical="center" wrapText="1"/>
    </xf>
    <xf numFmtId="3" fontId="3" fillId="0" borderId="0" xfId="0" applyNumberFormat="1" applyFont="1" applyAlignment="1">
      <alignment vertical="top" wrapText="1"/>
    </xf>
    <xf numFmtId="0" fontId="3" fillId="0" borderId="0" xfId="0" applyFont="1" applyAlignment="1">
      <alignment vertical="top"/>
    </xf>
    <xf numFmtId="1" fontId="4" fillId="0" borderId="35" xfId="0" applyNumberFormat="1" applyFont="1" applyBorder="1"/>
    <xf numFmtId="1" fontId="8" fillId="0" borderId="35" xfId="0" applyNumberFormat="1" applyFont="1" applyBorder="1" applyAlignment="1">
      <alignment vertical="center"/>
    </xf>
    <xf numFmtId="1" fontId="4" fillId="0" borderId="18" xfId="0" applyNumberFormat="1" applyFont="1" applyBorder="1" applyAlignment="1">
      <alignment horizontal="left" vertical="top" wrapText="1"/>
    </xf>
    <xf numFmtId="0" fontId="4" fillId="0" borderId="35" xfId="0" applyFont="1" applyBorder="1"/>
    <xf numFmtId="164" fontId="4" fillId="0" borderId="35" xfId="0" applyNumberFormat="1" applyFont="1" applyBorder="1"/>
    <xf numFmtId="1" fontId="4" fillId="0" borderId="36" xfId="0" applyNumberFormat="1" applyFont="1" applyBorder="1"/>
    <xf numFmtId="164" fontId="19" fillId="5" borderId="35" xfId="0" applyNumberFormat="1" applyFont="1" applyFill="1" applyBorder="1"/>
    <xf numFmtId="0" fontId="20" fillId="5" borderId="39" xfId="0" applyFont="1" applyFill="1" applyBorder="1" applyAlignment="1">
      <alignment horizontal="right"/>
    </xf>
    <xf numFmtId="0" fontId="20" fillId="5" borderId="40" xfId="0" applyFont="1" applyFill="1" applyBorder="1" applyAlignment="1">
      <alignment horizontal="right"/>
    </xf>
    <xf numFmtId="0" fontId="20" fillId="5" borderId="41" xfId="0" applyFont="1" applyFill="1" applyBorder="1" applyAlignment="1">
      <alignment horizontal="right"/>
    </xf>
    <xf numFmtId="0" fontId="3" fillId="0" borderId="38" xfId="0" applyFont="1" applyBorder="1" applyAlignment="1">
      <alignment vertical="top" wrapText="1"/>
    </xf>
    <xf numFmtId="164" fontId="3" fillId="0" borderId="25" xfId="0" applyNumberFormat="1" applyFont="1" applyBorder="1" applyAlignment="1">
      <alignment vertical="top" wrapText="1"/>
    </xf>
    <xf numFmtId="0" fontId="3" fillId="0" borderId="26" xfId="0" applyFont="1" applyBorder="1" applyAlignment="1">
      <alignment vertical="top" wrapText="1"/>
    </xf>
    <xf numFmtId="0" fontId="3" fillId="0" borderId="28" xfId="0" applyFont="1" applyBorder="1" applyAlignment="1">
      <alignment vertical="top" wrapText="1"/>
    </xf>
    <xf numFmtId="164" fontId="3" fillId="0" borderId="27" xfId="0" applyNumberFormat="1" applyFont="1" applyBorder="1" applyAlignment="1">
      <alignment vertical="top" wrapText="1"/>
    </xf>
    <xf numFmtId="0" fontId="9" fillId="4" borderId="31" xfId="0" applyFont="1" applyFill="1" applyBorder="1" applyAlignment="1">
      <alignment horizontal="left" vertical="top"/>
    </xf>
    <xf numFmtId="0" fontId="2" fillId="0" borderId="17" xfId="0" applyFont="1" applyBorder="1"/>
    <xf numFmtId="0" fontId="2" fillId="0" borderId="18" xfId="0" applyFont="1" applyBorder="1"/>
    <xf numFmtId="0" fontId="10" fillId="2" borderId="1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2" fillId="0" borderId="21" xfId="0" applyFont="1" applyBorder="1"/>
    <xf numFmtId="1" fontId="8" fillId="0" borderId="29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4" fontId="5" fillId="2" borderId="7" xfId="0" applyNumberFormat="1" applyFont="1" applyFill="1" applyBorder="1" applyAlignment="1">
      <alignment horizontal="left" vertical="top"/>
    </xf>
    <xf numFmtId="0" fontId="2" fillId="0" borderId="8" xfId="0" applyFont="1" applyBorder="1"/>
    <xf numFmtId="0" fontId="2" fillId="0" borderId="9" xfId="0" applyFont="1" applyBorder="1"/>
    <xf numFmtId="164" fontId="4" fillId="2" borderId="10" xfId="0" applyNumberFormat="1" applyFont="1" applyFill="1" applyBorder="1"/>
    <xf numFmtId="0" fontId="2" fillId="0" borderId="15" xfId="0" applyFont="1" applyBorder="1"/>
    <xf numFmtId="14" fontId="6" fillId="2" borderId="14" xfId="0" applyNumberFormat="1" applyFont="1" applyFill="1" applyBorder="1"/>
    <xf numFmtId="1" fontId="7" fillId="0" borderId="17" xfId="0" applyNumberFormat="1" applyFont="1" applyBorder="1" applyAlignment="1">
      <alignment horizontal="left" vertical="top" wrapText="1"/>
    </xf>
    <xf numFmtId="0" fontId="5" fillId="2" borderId="16" xfId="0" applyFont="1" applyFill="1" applyBorder="1" applyAlignment="1">
      <alignment horizontal="left" vertical="top"/>
    </xf>
    <xf numFmtId="1" fontId="4" fillId="2" borderId="4" xfId="0" applyNumberFormat="1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1" fontId="8" fillId="0" borderId="22" xfId="0" applyNumberFormat="1" applyFont="1" applyBorder="1" applyAlignment="1">
      <alignment vertical="center"/>
    </xf>
    <xf numFmtId="0" fontId="2" fillId="0" borderId="22" xfId="0" applyFont="1" applyBorder="1"/>
    <xf numFmtId="1" fontId="4" fillId="2" borderId="19" xfId="0" applyNumberFormat="1" applyFont="1" applyFill="1" applyBorder="1" applyAlignment="1">
      <alignment horizontal="center" wrapText="1"/>
    </xf>
    <xf numFmtId="1" fontId="8" fillId="0" borderId="17" xfId="0" applyNumberFormat="1" applyFont="1" applyBorder="1" applyAlignment="1">
      <alignment horizontal="center" vertical="top" wrapText="1"/>
    </xf>
    <xf numFmtId="1" fontId="4" fillId="0" borderId="22" xfId="0" applyNumberFormat="1" applyFont="1" applyBorder="1" applyAlignment="1">
      <alignment horizontal="center" vertical="center" wrapText="1"/>
    </xf>
    <xf numFmtId="0" fontId="2" fillId="0" borderId="23" xfId="0" applyFont="1" applyBorder="1"/>
    <xf numFmtId="0" fontId="5" fillId="0" borderId="26" xfId="0" applyFont="1" applyBorder="1" applyAlignment="1">
      <alignment horizontal="center" vertical="center"/>
    </xf>
    <xf numFmtId="0" fontId="2" fillId="0" borderId="27" xfId="0" applyFont="1" applyBorder="1"/>
    <xf numFmtId="1" fontId="4" fillId="0" borderId="28" xfId="0" applyNumberFormat="1" applyFont="1" applyBorder="1" applyAlignment="1">
      <alignment horizontal="left" vertical="top"/>
    </xf>
    <xf numFmtId="1" fontId="8" fillId="3" borderId="19" xfId="0" applyNumberFormat="1" applyFont="1" applyFill="1" applyBorder="1" applyAlignment="1">
      <alignment horizontal="center" vertical="top"/>
    </xf>
    <xf numFmtId="1" fontId="4" fillId="0" borderId="26" xfId="0" applyNumberFormat="1" applyFont="1" applyBorder="1" applyAlignment="1">
      <alignment horizontal="left" vertical="top"/>
    </xf>
    <xf numFmtId="1" fontId="4" fillId="2" borderId="16" xfId="0" applyNumberFormat="1" applyFont="1" applyFill="1" applyBorder="1"/>
    <xf numFmtId="0" fontId="2" fillId="0" borderId="24" xfId="0" applyFont="1" applyBorder="1"/>
    <xf numFmtId="0" fontId="5" fillId="2" borderId="29" xfId="0" applyFont="1" applyFill="1" applyBorder="1" applyAlignment="1">
      <alignment horizontal="center" vertical="center"/>
    </xf>
    <xf numFmtId="0" fontId="2" fillId="0" borderId="30" xfId="0" applyFont="1" applyBorder="1"/>
    <xf numFmtId="0" fontId="13" fillId="2" borderId="31" xfId="0" applyFont="1" applyFill="1" applyBorder="1" applyAlignment="1">
      <alignment horizontal="center" vertical="top" wrapText="1"/>
    </xf>
    <xf numFmtId="1" fontId="4" fillId="2" borderId="16" xfId="0" applyNumberFormat="1" applyFont="1" applyFill="1" applyBorder="1" applyAlignment="1">
      <alignment horizontal="center" vertical="center" wrapText="1"/>
    </xf>
    <xf numFmtId="1" fontId="8" fillId="0" borderId="22" xfId="0" applyNumberFormat="1" applyFont="1" applyBorder="1" applyAlignment="1">
      <alignment horizontal="center" vertical="center" wrapText="1"/>
    </xf>
    <xf numFmtId="0" fontId="0" fillId="0" borderId="0" xfId="0"/>
    <xf numFmtId="0" fontId="2" fillId="0" borderId="25" xfId="0" applyFont="1" applyBorder="1"/>
    <xf numFmtId="1" fontId="4" fillId="0" borderId="29" xfId="0" applyNumberFormat="1" applyFont="1" applyBorder="1" applyAlignment="1">
      <alignment horizontal="left" vertical="top" wrapText="1"/>
    </xf>
    <xf numFmtId="1" fontId="4" fillId="0" borderId="37" xfId="0" applyNumberFormat="1" applyFont="1" applyBorder="1" applyAlignment="1">
      <alignment horizontal="left" vertical="top" wrapText="1"/>
    </xf>
    <xf numFmtId="0" fontId="20" fillId="5" borderId="16" xfId="0" applyFont="1" applyFill="1" applyBorder="1" applyAlignment="1">
      <alignment horizontal="right"/>
    </xf>
    <xf numFmtId="1" fontId="4" fillId="0" borderId="38" xfId="0" applyNumberFormat="1" applyFont="1" applyBorder="1" applyAlignment="1">
      <alignment horizontal="left" vertical="top" wrapText="1"/>
    </xf>
    <xf numFmtId="0" fontId="2" fillId="0" borderId="26" xfId="0" applyFont="1" applyBorder="1"/>
    <xf numFmtId="0" fontId="2" fillId="0" borderId="28" xfId="0" applyFont="1" applyBorder="1"/>
    <xf numFmtId="1" fontId="4" fillId="5" borderId="37" xfId="0" applyNumberFormat="1" applyFont="1" applyFill="1" applyBorder="1"/>
    <xf numFmtId="0" fontId="2" fillId="0" borderId="38" xfId="0" applyFont="1" applyBorder="1"/>
    <xf numFmtId="0" fontId="5" fillId="5" borderId="4" xfId="0" applyFont="1" applyFill="1" applyBorder="1" applyAlignment="1">
      <alignment horizontal="center" vertical="center" wrapText="1"/>
    </xf>
    <xf numFmtId="0" fontId="2" fillId="0" borderId="4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showGridLines="0" tabSelected="1" workbookViewId="0">
      <selection activeCell="G7" sqref="G7:J7"/>
    </sheetView>
  </sheetViews>
  <sheetFormatPr baseColWidth="10" defaultColWidth="12.6640625" defaultRowHeight="15" customHeight="1" x14ac:dyDescent="0.2"/>
  <cols>
    <col min="1" max="1" width="7.6640625" customWidth="1"/>
    <col min="2" max="2" width="7.1640625" customWidth="1"/>
    <col min="3" max="3" width="8.33203125" customWidth="1"/>
    <col min="4" max="4" width="8.6640625" customWidth="1"/>
    <col min="5" max="5" width="13.6640625" customWidth="1"/>
    <col min="6" max="6" width="16.5" customWidth="1"/>
    <col min="7" max="7" width="8.6640625" customWidth="1"/>
    <col min="8" max="9" width="8.83203125" customWidth="1"/>
    <col min="10" max="10" width="10.5" bestFit="1" customWidth="1"/>
    <col min="11" max="12" width="13.1640625" customWidth="1"/>
    <col min="13" max="13" width="12.6640625" customWidth="1"/>
  </cols>
  <sheetData>
    <row r="1" spans="1:13" ht="19" x14ac:dyDescent="0.2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2"/>
      <c r="K1" s="1"/>
      <c r="L1" s="1"/>
      <c r="M1" s="1"/>
    </row>
    <row r="2" spans="1:13" ht="16" x14ac:dyDescent="0.2">
      <c r="A2" s="51"/>
      <c r="B2" s="52"/>
      <c r="C2" s="52"/>
      <c r="D2" s="52"/>
      <c r="E2" s="52"/>
      <c r="F2" s="53"/>
      <c r="G2" s="43"/>
      <c r="H2" s="44"/>
      <c r="I2" s="45"/>
      <c r="J2" s="46"/>
      <c r="K2" s="1"/>
      <c r="L2" s="1"/>
      <c r="M2" s="1"/>
    </row>
    <row r="3" spans="1:13" ht="16" x14ac:dyDescent="0.2">
      <c r="A3" s="54"/>
      <c r="B3" s="55"/>
      <c r="C3" s="55"/>
      <c r="D3" s="55"/>
      <c r="E3" s="55"/>
      <c r="F3" s="56"/>
      <c r="G3" s="48"/>
      <c r="H3" s="44"/>
      <c r="I3" s="45"/>
      <c r="J3" s="47"/>
      <c r="K3" s="1"/>
      <c r="L3" s="1"/>
      <c r="M3" s="1"/>
    </row>
    <row r="4" spans="1:13" ht="16" x14ac:dyDescent="0.2">
      <c r="A4" s="50" t="s">
        <v>1</v>
      </c>
      <c r="B4" s="44"/>
      <c r="C4" s="45"/>
      <c r="D4" s="49" t="s">
        <v>20</v>
      </c>
      <c r="E4" s="34"/>
      <c r="F4" s="34"/>
      <c r="G4" s="34"/>
      <c r="H4" s="34"/>
      <c r="I4" s="34"/>
      <c r="J4" s="35"/>
      <c r="K4" s="1"/>
      <c r="L4" s="1"/>
      <c r="M4" s="1"/>
    </row>
    <row r="5" spans="1:13" ht="16" x14ac:dyDescent="0.2">
      <c r="A5" s="59"/>
      <c r="B5" s="37"/>
      <c r="C5" s="37"/>
      <c r="D5" s="37"/>
      <c r="E5" s="37"/>
      <c r="F5" s="37"/>
      <c r="G5" s="37"/>
      <c r="H5" s="37"/>
      <c r="I5" s="37"/>
      <c r="J5" s="38"/>
      <c r="K5" s="1"/>
      <c r="L5" s="1"/>
      <c r="M5" s="1"/>
    </row>
    <row r="6" spans="1:13" ht="16" x14ac:dyDescent="0.2">
      <c r="A6" s="50" t="s">
        <v>2</v>
      </c>
      <c r="B6" s="44"/>
      <c r="C6" s="45"/>
      <c r="D6" s="60" t="s">
        <v>21</v>
      </c>
      <c r="E6" s="34"/>
      <c r="F6" s="34"/>
      <c r="G6" s="34"/>
      <c r="H6" s="34"/>
      <c r="I6" s="34"/>
      <c r="J6" s="35"/>
      <c r="K6" s="1"/>
      <c r="L6" s="1"/>
      <c r="M6" s="1"/>
    </row>
    <row r="7" spans="1:13" ht="16" x14ac:dyDescent="0.2">
      <c r="A7" s="50" t="s">
        <v>3</v>
      </c>
      <c r="B7" s="44"/>
      <c r="C7" s="45"/>
      <c r="D7" s="57"/>
      <c r="E7" s="58"/>
      <c r="F7" s="58"/>
      <c r="G7" s="61" t="s">
        <v>27</v>
      </c>
      <c r="H7" s="58"/>
      <c r="I7" s="58"/>
      <c r="J7" s="62"/>
      <c r="K7" s="1"/>
      <c r="L7" s="1"/>
      <c r="M7" s="1"/>
    </row>
    <row r="8" spans="1:13" ht="16" x14ac:dyDescent="0.2">
      <c r="A8" s="50" t="s">
        <v>4</v>
      </c>
      <c r="B8" s="44"/>
      <c r="C8" s="45"/>
      <c r="D8" s="74" t="s">
        <v>22</v>
      </c>
      <c r="E8" s="58"/>
      <c r="F8" s="58"/>
      <c r="G8" s="58"/>
      <c r="H8" s="58"/>
      <c r="I8" s="58"/>
      <c r="J8" s="62"/>
      <c r="K8" s="1"/>
      <c r="L8" s="1"/>
      <c r="M8" s="1"/>
    </row>
    <row r="9" spans="1:13" ht="16" x14ac:dyDescent="0.2">
      <c r="A9" s="68"/>
      <c r="B9" s="44"/>
      <c r="C9" s="69"/>
      <c r="D9" s="75"/>
      <c r="E9" s="75"/>
      <c r="F9" s="75"/>
      <c r="G9" s="75"/>
      <c r="H9" s="75"/>
      <c r="I9" s="75"/>
      <c r="J9" s="76"/>
      <c r="K9" s="1"/>
      <c r="L9" s="1"/>
      <c r="M9" s="1"/>
    </row>
    <row r="10" spans="1:13" ht="16" x14ac:dyDescent="0.2">
      <c r="A10" s="73"/>
      <c r="B10" s="44"/>
      <c r="C10" s="44"/>
      <c r="D10" s="44"/>
      <c r="E10" s="44"/>
      <c r="F10" s="44"/>
      <c r="G10" s="44"/>
      <c r="H10" s="44"/>
      <c r="I10" s="44"/>
      <c r="J10" s="69"/>
      <c r="K10" s="1"/>
      <c r="L10" s="1"/>
      <c r="M10" s="1"/>
    </row>
    <row r="11" spans="1:13" ht="16" x14ac:dyDescent="0.2">
      <c r="A11" s="50" t="s">
        <v>5</v>
      </c>
      <c r="B11" s="44"/>
      <c r="C11" s="45"/>
      <c r="D11" s="67" t="s">
        <v>6</v>
      </c>
      <c r="E11" s="64"/>
      <c r="F11" s="63" t="s">
        <v>6</v>
      </c>
      <c r="G11" s="64"/>
      <c r="H11" s="66"/>
      <c r="I11" s="37"/>
      <c r="J11" s="38"/>
      <c r="K11" s="1"/>
      <c r="L11" s="1"/>
      <c r="M11" s="1"/>
    </row>
    <row r="12" spans="1:13" ht="16" x14ac:dyDescent="0.2">
      <c r="A12" s="50" t="s">
        <v>7</v>
      </c>
      <c r="B12" s="44"/>
      <c r="C12" s="45"/>
      <c r="D12" s="65" t="s">
        <v>8</v>
      </c>
      <c r="E12" s="64"/>
      <c r="F12" s="70" t="s">
        <v>9</v>
      </c>
      <c r="G12" s="71"/>
      <c r="H12" s="33" t="s">
        <v>23</v>
      </c>
      <c r="I12" s="34"/>
      <c r="J12" s="35"/>
      <c r="K12" s="1"/>
      <c r="L12" s="1"/>
      <c r="M12" s="1"/>
    </row>
    <row r="13" spans="1:13" ht="16" x14ac:dyDescent="0.2">
      <c r="A13" s="36"/>
      <c r="B13" s="37"/>
      <c r="C13" s="37"/>
      <c r="D13" s="37"/>
      <c r="E13" s="37"/>
      <c r="F13" s="37"/>
      <c r="G13" s="37"/>
      <c r="H13" s="37"/>
      <c r="I13" s="37"/>
      <c r="J13" s="38"/>
      <c r="K13" s="1"/>
      <c r="L13" s="1"/>
      <c r="M13" s="1"/>
    </row>
    <row r="14" spans="1:13" ht="68" x14ac:dyDescent="0.2">
      <c r="A14" s="2" t="s">
        <v>10</v>
      </c>
      <c r="B14" s="3" t="s">
        <v>11</v>
      </c>
      <c r="C14" s="3" t="s">
        <v>12</v>
      </c>
      <c r="D14" s="72" t="s">
        <v>13</v>
      </c>
      <c r="E14" s="34"/>
      <c r="F14" s="34"/>
      <c r="G14" s="71"/>
      <c r="H14" s="4" t="s">
        <v>14</v>
      </c>
      <c r="I14" s="3" t="s">
        <v>15</v>
      </c>
      <c r="J14" s="5" t="s">
        <v>16</v>
      </c>
      <c r="K14" s="6"/>
      <c r="L14" s="1"/>
      <c r="M14" s="1"/>
    </row>
    <row r="15" spans="1:13" ht="16" x14ac:dyDescent="0.2">
      <c r="A15" s="7">
        <v>8</v>
      </c>
      <c r="B15" s="8" t="s">
        <v>24</v>
      </c>
      <c r="C15" s="7" t="s">
        <v>25</v>
      </c>
      <c r="D15" s="39" t="s">
        <v>26</v>
      </c>
      <c r="E15" s="34"/>
      <c r="F15" s="34"/>
      <c r="G15" s="35"/>
      <c r="H15" s="9">
        <v>43191501</v>
      </c>
      <c r="I15" s="10">
        <v>5387.9309999999996</v>
      </c>
      <c r="J15" s="11">
        <f t="shared" ref="J15:J20" si="0">I15*A15</f>
        <v>43103.447999999997</v>
      </c>
      <c r="K15" s="12"/>
      <c r="L15" s="13"/>
      <c r="M15" s="14"/>
    </row>
    <row r="16" spans="1:13" ht="16" x14ac:dyDescent="0.2">
      <c r="A16" s="7"/>
      <c r="B16" s="7"/>
      <c r="C16" s="7"/>
      <c r="D16" s="39"/>
      <c r="E16" s="34"/>
      <c r="F16" s="34"/>
      <c r="G16" s="35"/>
      <c r="H16" s="15"/>
      <c r="I16" s="10"/>
      <c r="J16" s="11">
        <f t="shared" si="0"/>
        <v>0</v>
      </c>
      <c r="K16" s="16"/>
      <c r="L16" s="17"/>
      <c r="M16" s="1"/>
    </row>
    <row r="17" spans="1:13" ht="16" x14ac:dyDescent="0.2">
      <c r="A17" s="7"/>
      <c r="B17" s="7"/>
      <c r="C17" s="7"/>
      <c r="D17" s="39"/>
      <c r="E17" s="34"/>
      <c r="F17" s="34"/>
      <c r="G17" s="35"/>
      <c r="H17" s="15"/>
      <c r="I17" s="10"/>
      <c r="J17" s="11">
        <f t="shared" si="0"/>
        <v>0</v>
      </c>
      <c r="K17" s="1"/>
      <c r="L17" s="17"/>
      <c r="M17" s="1"/>
    </row>
    <row r="18" spans="1:13" ht="16" x14ac:dyDescent="0.2">
      <c r="A18" s="7"/>
      <c r="B18" s="7"/>
      <c r="C18" s="7"/>
      <c r="D18" s="39"/>
      <c r="E18" s="34"/>
      <c r="F18" s="34"/>
      <c r="G18" s="35"/>
      <c r="H18" s="15"/>
      <c r="I18" s="10"/>
      <c r="J18" s="11">
        <f t="shared" si="0"/>
        <v>0</v>
      </c>
      <c r="K18" s="1"/>
      <c r="L18" s="17"/>
      <c r="M18" s="1"/>
    </row>
    <row r="19" spans="1:13" ht="16" x14ac:dyDescent="0.2">
      <c r="A19" s="18"/>
      <c r="B19" s="19"/>
      <c r="C19" s="19"/>
      <c r="D19" s="77"/>
      <c r="E19" s="34"/>
      <c r="F19" s="34"/>
      <c r="G19" s="35"/>
      <c r="H19" s="20"/>
      <c r="I19" s="21"/>
      <c r="J19" s="22">
        <f t="shared" si="0"/>
        <v>0</v>
      </c>
      <c r="K19" s="1"/>
      <c r="L19" s="1"/>
      <c r="M19" s="1"/>
    </row>
    <row r="20" spans="1:13" ht="16" x14ac:dyDescent="0.2">
      <c r="A20" s="23"/>
      <c r="B20" s="23"/>
      <c r="C20" s="23"/>
      <c r="D20" s="78"/>
      <c r="E20" s="58"/>
      <c r="F20" s="58"/>
      <c r="G20" s="62"/>
      <c r="H20" s="20"/>
      <c r="I20" s="21"/>
      <c r="J20" s="22">
        <f t="shared" si="0"/>
        <v>0</v>
      </c>
      <c r="K20" s="1"/>
      <c r="L20" s="1"/>
      <c r="M20" s="1"/>
    </row>
    <row r="21" spans="1:13" ht="15.75" customHeight="1" x14ac:dyDescent="0.2">
      <c r="A21" s="83"/>
      <c r="B21" s="58"/>
      <c r="C21" s="58"/>
      <c r="D21" s="58"/>
      <c r="E21" s="62"/>
      <c r="F21" s="79" t="s">
        <v>17</v>
      </c>
      <c r="G21" s="44"/>
      <c r="H21" s="44"/>
      <c r="I21" s="69"/>
      <c r="J21" s="24">
        <f>SUM(J15:J20)</f>
        <v>43103.447999999997</v>
      </c>
      <c r="K21" s="14"/>
      <c r="L21" s="1"/>
      <c r="M21" s="1"/>
    </row>
    <row r="22" spans="1:13" ht="15.75" customHeight="1" x14ac:dyDescent="0.2">
      <c r="A22" s="84"/>
      <c r="B22" s="75"/>
      <c r="C22" s="75"/>
      <c r="D22" s="75"/>
      <c r="E22" s="76"/>
      <c r="F22" s="79" t="s">
        <v>18</v>
      </c>
      <c r="G22" s="44"/>
      <c r="H22" s="44"/>
      <c r="I22" s="69"/>
      <c r="J22" s="24">
        <f>+J21*0.16</f>
        <v>6896.5516799999996</v>
      </c>
      <c r="K22" s="14"/>
      <c r="L22" s="1"/>
      <c r="M22" s="1"/>
    </row>
    <row r="23" spans="1:13" ht="15.75" customHeight="1" x14ac:dyDescent="0.2">
      <c r="A23" s="84"/>
      <c r="B23" s="75"/>
      <c r="C23" s="75"/>
      <c r="D23" s="75"/>
      <c r="E23" s="76"/>
      <c r="F23" s="25"/>
      <c r="G23" s="26"/>
      <c r="H23" s="26"/>
      <c r="I23" s="27"/>
      <c r="J23" s="24"/>
      <c r="K23" s="14"/>
      <c r="L23" s="1"/>
      <c r="M23" s="1"/>
    </row>
    <row r="24" spans="1:13" ht="15.75" customHeight="1" x14ac:dyDescent="0.2">
      <c r="A24" s="81"/>
      <c r="B24" s="82"/>
      <c r="C24" s="82"/>
      <c r="D24" s="82"/>
      <c r="E24" s="64"/>
      <c r="F24" s="79" t="s">
        <v>16</v>
      </c>
      <c r="G24" s="44"/>
      <c r="H24" s="44"/>
      <c r="I24" s="69"/>
      <c r="J24" s="24">
        <f>J21+J22-J23</f>
        <v>49999.999679999994</v>
      </c>
      <c r="K24" s="14"/>
      <c r="L24" s="1"/>
      <c r="M24" s="1"/>
    </row>
    <row r="25" spans="1:13" ht="15.75" customHeight="1" x14ac:dyDescent="0.2">
      <c r="A25" s="85" t="s">
        <v>19</v>
      </c>
      <c r="B25" s="52"/>
      <c r="C25" s="86"/>
      <c r="D25" s="80"/>
      <c r="E25" s="75"/>
      <c r="F25" s="75"/>
      <c r="G25" s="75"/>
      <c r="H25" s="75"/>
      <c r="I25" s="75"/>
      <c r="J25" s="76"/>
      <c r="K25" s="1"/>
      <c r="L25" s="1"/>
      <c r="M25" s="1"/>
    </row>
    <row r="26" spans="1:13" ht="15.75" customHeight="1" x14ac:dyDescent="0.2">
      <c r="A26" s="81"/>
      <c r="B26" s="82"/>
      <c r="C26" s="64"/>
      <c r="D26" s="81"/>
      <c r="E26" s="82"/>
      <c r="F26" s="82"/>
      <c r="G26" s="82"/>
      <c r="H26" s="82"/>
      <c r="I26" s="82"/>
      <c r="J26" s="64"/>
      <c r="K26" s="1"/>
      <c r="L26" s="1"/>
      <c r="M26" s="1"/>
    </row>
    <row r="27" spans="1:13" ht="15.75" customHeight="1" x14ac:dyDescent="0.2">
      <c r="A27" s="28"/>
      <c r="B27" s="1"/>
      <c r="C27" s="1"/>
      <c r="D27" s="1"/>
      <c r="E27" s="1"/>
      <c r="F27" s="1"/>
      <c r="G27" s="1"/>
      <c r="H27" s="1"/>
      <c r="I27" s="1"/>
      <c r="J27" s="29"/>
      <c r="K27" s="1"/>
      <c r="L27" s="1"/>
      <c r="M27" s="1"/>
    </row>
    <row r="28" spans="1:13" ht="15.75" customHeight="1" x14ac:dyDescent="0.2">
      <c r="A28" s="28"/>
      <c r="B28" s="1"/>
      <c r="C28" s="1"/>
      <c r="D28" s="1"/>
      <c r="E28" s="1"/>
      <c r="F28" s="1"/>
      <c r="G28" s="1"/>
      <c r="H28" s="1"/>
      <c r="I28" s="1"/>
      <c r="J28" s="29"/>
      <c r="K28" s="1"/>
      <c r="L28" s="1"/>
      <c r="M28" s="1"/>
    </row>
    <row r="29" spans="1:13" ht="15.75" customHeight="1" x14ac:dyDescent="0.2">
      <c r="A29" s="30"/>
      <c r="B29" s="31"/>
      <c r="C29" s="31"/>
      <c r="D29" s="31"/>
      <c r="E29" s="31"/>
      <c r="F29" s="31"/>
      <c r="G29" s="31"/>
      <c r="H29" s="31"/>
      <c r="I29" s="31"/>
      <c r="J29" s="32"/>
      <c r="K29" s="1"/>
      <c r="L29" s="1"/>
      <c r="M29" s="1"/>
    </row>
    <row r="30" spans="1:13" ht="15.7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4"/>
      <c r="K30" s="1"/>
      <c r="L30" s="1"/>
      <c r="M30" s="1"/>
    </row>
    <row r="31" spans="1:13" ht="15.7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4"/>
      <c r="K31" s="1"/>
      <c r="L31" s="1"/>
      <c r="M31" s="1"/>
    </row>
    <row r="32" spans="1:13" ht="15.7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4"/>
      <c r="K32" s="1"/>
      <c r="L32" s="1"/>
      <c r="M32" s="1"/>
    </row>
    <row r="33" spans="1:13" ht="15.7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4"/>
      <c r="K33" s="1"/>
      <c r="L33" s="1"/>
      <c r="M33" s="1"/>
    </row>
    <row r="34" spans="1:13" ht="15.75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4"/>
      <c r="K34" s="1"/>
      <c r="L34" s="1"/>
      <c r="M34" s="1"/>
    </row>
    <row r="35" spans="1:13" ht="15.75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4"/>
      <c r="K35" s="1"/>
      <c r="L35" s="1"/>
      <c r="M35" s="1"/>
    </row>
    <row r="36" spans="1:13" ht="15.75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4"/>
      <c r="K36" s="1"/>
      <c r="L36" s="1"/>
      <c r="M36" s="1"/>
    </row>
    <row r="37" spans="1:13" ht="15.7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4"/>
      <c r="K37" s="1"/>
      <c r="L37" s="1"/>
      <c r="M37" s="1"/>
    </row>
    <row r="38" spans="1:13" ht="15.75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4"/>
      <c r="K38" s="1"/>
      <c r="L38" s="1"/>
      <c r="M38" s="1"/>
    </row>
    <row r="39" spans="1:13" ht="15.75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4"/>
      <c r="K39" s="1"/>
      <c r="L39" s="1"/>
      <c r="M39" s="1"/>
    </row>
    <row r="40" spans="1:13" ht="15.75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4"/>
      <c r="K40" s="1"/>
      <c r="L40" s="1"/>
      <c r="M40" s="1"/>
    </row>
    <row r="41" spans="1:13" ht="15.75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4"/>
      <c r="K41" s="1"/>
      <c r="L41" s="1"/>
      <c r="M41" s="1"/>
    </row>
    <row r="42" spans="1:13" ht="15.75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4"/>
      <c r="K42" s="1"/>
      <c r="L42" s="1"/>
      <c r="M42" s="1"/>
    </row>
    <row r="43" spans="1:13" ht="15.75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4"/>
      <c r="K43" s="1"/>
      <c r="L43" s="1"/>
      <c r="M43" s="1"/>
    </row>
    <row r="44" spans="1:13" ht="15.75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4"/>
      <c r="K44" s="1"/>
      <c r="L44" s="1"/>
      <c r="M44" s="1"/>
    </row>
    <row r="45" spans="1:13" ht="15.75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4"/>
      <c r="K45" s="1"/>
      <c r="L45" s="1"/>
      <c r="M45" s="1"/>
    </row>
    <row r="46" spans="1:13" ht="15.75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4"/>
      <c r="K46" s="1"/>
      <c r="L46" s="1"/>
      <c r="M46" s="1"/>
    </row>
    <row r="47" spans="1:13" ht="15.7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4"/>
      <c r="K47" s="1"/>
      <c r="L47" s="1"/>
      <c r="M47" s="1"/>
    </row>
    <row r="48" spans="1:13" ht="15.75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4"/>
      <c r="K48" s="1"/>
      <c r="L48" s="1"/>
      <c r="M48" s="1"/>
    </row>
    <row r="49" spans="1:13" ht="15.75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4"/>
      <c r="K49" s="1"/>
      <c r="L49" s="1"/>
      <c r="M49" s="1"/>
    </row>
    <row r="50" spans="1:13" ht="15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4"/>
      <c r="K50" s="1"/>
      <c r="L50" s="1"/>
      <c r="M50" s="1"/>
    </row>
    <row r="51" spans="1:13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4"/>
      <c r="K51" s="1"/>
      <c r="L51" s="1"/>
      <c r="M51" s="1"/>
    </row>
    <row r="52" spans="1:13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4"/>
      <c r="K52" s="1"/>
      <c r="L52" s="1"/>
      <c r="M52" s="1"/>
    </row>
    <row r="53" spans="1:13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4"/>
      <c r="K53" s="1"/>
      <c r="L53" s="1"/>
      <c r="M53" s="1"/>
    </row>
    <row r="54" spans="1:13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4"/>
      <c r="K54" s="1"/>
      <c r="L54" s="1"/>
      <c r="M54" s="1"/>
    </row>
    <row r="55" spans="1:13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4"/>
      <c r="K55" s="1"/>
      <c r="L55" s="1"/>
      <c r="M55" s="1"/>
    </row>
    <row r="56" spans="1:13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4"/>
      <c r="K56" s="1"/>
      <c r="L56" s="1"/>
      <c r="M56" s="1"/>
    </row>
    <row r="57" spans="1:13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4"/>
      <c r="K57" s="1"/>
      <c r="L57" s="1"/>
      <c r="M57" s="1"/>
    </row>
    <row r="58" spans="1:13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4"/>
      <c r="K58" s="1"/>
      <c r="L58" s="1"/>
      <c r="M58" s="1"/>
    </row>
    <row r="59" spans="1:13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4"/>
      <c r="K59" s="1"/>
      <c r="L59" s="1"/>
      <c r="M59" s="1"/>
    </row>
    <row r="60" spans="1:13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4"/>
      <c r="K60" s="1"/>
      <c r="L60" s="1"/>
      <c r="M60" s="1"/>
    </row>
    <row r="61" spans="1:13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4"/>
      <c r="K61" s="1"/>
      <c r="L61" s="1"/>
      <c r="M61" s="1"/>
    </row>
    <row r="62" spans="1:13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4"/>
      <c r="K62" s="1"/>
      <c r="L62" s="1"/>
      <c r="M62" s="1"/>
    </row>
    <row r="63" spans="1:13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4"/>
      <c r="K63" s="1"/>
      <c r="L63" s="1"/>
      <c r="M63" s="1"/>
    </row>
    <row r="64" spans="1:13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4"/>
      <c r="K64" s="1"/>
      <c r="L64" s="1"/>
      <c r="M64" s="1"/>
    </row>
    <row r="65" spans="1:13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4"/>
      <c r="K65" s="1"/>
      <c r="L65" s="1"/>
      <c r="M65" s="1"/>
    </row>
    <row r="66" spans="1:13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4"/>
      <c r="K66" s="1"/>
      <c r="L66" s="1"/>
      <c r="M66" s="1"/>
    </row>
    <row r="67" spans="1:13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4"/>
      <c r="K67" s="1"/>
      <c r="L67" s="1"/>
      <c r="M67" s="1"/>
    </row>
    <row r="68" spans="1:13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4"/>
      <c r="K68" s="1"/>
      <c r="L68" s="1"/>
      <c r="M68" s="1"/>
    </row>
    <row r="69" spans="1:13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4"/>
      <c r="K69" s="1"/>
      <c r="L69" s="1"/>
      <c r="M69" s="1"/>
    </row>
    <row r="70" spans="1:13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4"/>
      <c r="K70" s="1"/>
      <c r="L70" s="1"/>
      <c r="M70" s="1"/>
    </row>
    <row r="71" spans="1:13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4"/>
      <c r="K71" s="1"/>
      <c r="L71" s="1"/>
      <c r="M71" s="1"/>
    </row>
    <row r="72" spans="1:13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4"/>
      <c r="K72" s="1"/>
      <c r="L72" s="1"/>
      <c r="M72" s="1"/>
    </row>
    <row r="73" spans="1:13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4"/>
      <c r="K73" s="1"/>
      <c r="L73" s="1"/>
      <c r="M73" s="1"/>
    </row>
    <row r="74" spans="1:13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4"/>
      <c r="K74" s="1"/>
      <c r="L74" s="1"/>
      <c r="M74" s="1"/>
    </row>
    <row r="75" spans="1:13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4"/>
      <c r="K75" s="1"/>
      <c r="L75" s="1"/>
      <c r="M75" s="1"/>
    </row>
    <row r="76" spans="1:13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4"/>
      <c r="K76" s="1"/>
      <c r="L76" s="1"/>
      <c r="M76" s="1"/>
    </row>
    <row r="77" spans="1:13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4"/>
      <c r="K77" s="1"/>
      <c r="L77" s="1"/>
      <c r="M77" s="1"/>
    </row>
    <row r="78" spans="1:13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4"/>
      <c r="K78" s="1"/>
      <c r="L78" s="1"/>
      <c r="M78" s="1"/>
    </row>
    <row r="79" spans="1:13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4"/>
      <c r="K79" s="1"/>
      <c r="L79" s="1"/>
      <c r="M79" s="1"/>
    </row>
    <row r="80" spans="1:13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4"/>
      <c r="K80" s="1"/>
      <c r="L80" s="1"/>
      <c r="M80" s="1"/>
    </row>
    <row r="81" spans="1:13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4"/>
      <c r="K81" s="1"/>
      <c r="L81" s="1"/>
      <c r="M81" s="1"/>
    </row>
    <row r="82" spans="1:13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4"/>
      <c r="K82" s="1"/>
      <c r="L82" s="1"/>
      <c r="M82" s="1"/>
    </row>
    <row r="83" spans="1:13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4"/>
      <c r="K83" s="1"/>
      <c r="L83" s="1"/>
      <c r="M83" s="1"/>
    </row>
    <row r="84" spans="1:13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4"/>
      <c r="K84" s="1"/>
      <c r="L84" s="1"/>
      <c r="M84" s="1"/>
    </row>
    <row r="85" spans="1:13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4"/>
      <c r="K85" s="1"/>
      <c r="L85" s="1"/>
      <c r="M85" s="1"/>
    </row>
    <row r="86" spans="1:13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4"/>
      <c r="K86" s="1"/>
      <c r="L86" s="1"/>
      <c r="M86" s="1"/>
    </row>
    <row r="87" spans="1:13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4"/>
      <c r="K87" s="1"/>
      <c r="L87" s="1"/>
      <c r="M87" s="1"/>
    </row>
    <row r="88" spans="1:13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4"/>
      <c r="K88" s="1"/>
      <c r="L88" s="1"/>
      <c r="M88" s="1"/>
    </row>
    <row r="89" spans="1:13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4"/>
      <c r="K89" s="1"/>
      <c r="L89" s="1"/>
      <c r="M89" s="1"/>
    </row>
    <row r="90" spans="1:13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4"/>
      <c r="K90" s="1"/>
      <c r="L90" s="1"/>
      <c r="M90" s="1"/>
    </row>
    <row r="91" spans="1:13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4"/>
      <c r="K91" s="1"/>
      <c r="L91" s="1"/>
      <c r="M91" s="1"/>
    </row>
    <row r="92" spans="1:13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4"/>
      <c r="K92" s="1"/>
      <c r="L92" s="1"/>
      <c r="M92" s="1"/>
    </row>
    <row r="93" spans="1:13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4"/>
      <c r="K93" s="1"/>
      <c r="L93" s="1"/>
      <c r="M93" s="1"/>
    </row>
    <row r="94" spans="1:13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4"/>
      <c r="K94" s="1"/>
      <c r="L94" s="1"/>
      <c r="M94" s="1"/>
    </row>
    <row r="95" spans="1:13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4"/>
      <c r="K95" s="1"/>
      <c r="L95" s="1"/>
      <c r="M95" s="1"/>
    </row>
    <row r="96" spans="1:13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4"/>
      <c r="K96" s="1"/>
      <c r="L96" s="1"/>
      <c r="M96" s="1"/>
    </row>
    <row r="97" spans="1:13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4"/>
      <c r="K97" s="1"/>
      <c r="L97" s="1"/>
      <c r="M97" s="1"/>
    </row>
    <row r="98" spans="1:13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4"/>
      <c r="K98" s="1"/>
      <c r="L98" s="1"/>
      <c r="M98" s="1"/>
    </row>
    <row r="99" spans="1:13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4"/>
      <c r="K99" s="1"/>
      <c r="L99" s="1"/>
      <c r="M99" s="1"/>
    </row>
    <row r="100" spans="1:13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4"/>
      <c r="K100" s="1"/>
      <c r="L100" s="1"/>
      <c r="M100" s="1"/>
    </row>
    <row r="101" spans="1:13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4"/>
      <c r="K101" s="1"/>
      <c r="L101" s="1"/>
      <c r="M101" s="1"/>
    </row>
    <row r="102" spans="1:13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4"/>
      <c r="K102" s="1"/>
      <c r="L102" s="1"/>
      <c r="M102" s="1"/>
    </row>
    <row r="103" spans="1:13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4"/>
      <c r="K103" s="1"/>
      <c r="L103" s="1"/>
      <c r="M103" s="1"/>
    </row>
  </sheetData>
  <mergeCells count="39">
    <mergeCell ref="D19:G19"/>
    <mergeCell ref="D20:G20"/>
    <mergeCell ref="F24:I24"/>
    <mergeCell ref="D25:J26"/>
    <mergeCell ref="A21:E24"/>
    <mergeCell ref="A25:C26"/>
    <mergeCell ref="F21:I21"/>
    <mergeCell ref="F22:I22"/>
    <mergeCell ref="D18:G18"/>
    <mergeCell ref="F11:G11"/>
    <mergeCell ref="D12:E12"/>
    <mergeCell ref="H11:J11"/>
    <mergeCell ref="A7:C7"/>
    <mergeCell ref="A8:C8"/>
    <mergeCell ref="A12:C12"/>
    <mergeCell ref="A11:C11"/>
    <mergeCell ref="D11:E11"/>
    <mergeCell ref="A9:C9"/>
    <mergeCell ref="F12:G12"/>
    <mergeCell ref="D14:G14"/>
    <mergeCell ref="D15:G15"/>
    <mergeCell ref="D16:G16"/>
    <mergeCell ref="A10:J10"/>
    <mergeCell ref="D8:J9"/>
    <mergeCell ref="H12:J12"/>
    <mergeCell ref="A13:J13"/>
    <mergeCell ref="D17:G17"/>
    <mergeCell ref="A1:J1"/>
    <mergeCell ref="G2:I2"/>
    <mergeCell ref="J2:J3"/>
    <mergeCell ref="G3:I3"/>
    <mergeCell ref="D4:J4"/>
    <mergeCell ref="A4:C4"/>
    <mergeCell ref="A2:F3"/>
    <mergeCell ref="D7:F7"/>
    <mergeCell ref="A5:J5"/>
    <mergeCell ref="A6:C6"/>
    <mergeCell ref="D6:J6"/>
    <mergeCell ref="G7:J7"/>
  </mergeCells>
  <pageMargins left="0.75" right="0.75" top="1" bottom="1" header="0" footer="0"/>
  <pageSetup orientation="portrait"/>
  <headerFooter>
    <oddFooter>&amp;C000000Agregar copia de transferencia o deposito, así como cedula fiscal de cliente.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"/>
  <sheetViews>
    <sheetView workbookViewId="0"/>
  </sheetViews>
  <sheetFormatPr baseColWidth="10" defaultColWidth="12.6640625" defaultRowHeight="15" customHeight="1" x14ac:dyDescent="0.2"/>
  <cols>
    <col min="1" max="6" width="10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PEDIDO FACTURA 3.3</vt:lpstr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pagos</dc:creator>
  <cp:lastModifiedBy>Yosef Betech</cp:lastModifiedBy>
  <dcterms:created xsi:type="dcterms:W3CDTF">2021-08-18T16:13:51Z</dcterms:created>
  <dcterms:modified xsi:type="dcterms:W3CDTF">2026-02-12T22:26:58Z</dcterms:modified>
</cp:coreProperties>
</file>